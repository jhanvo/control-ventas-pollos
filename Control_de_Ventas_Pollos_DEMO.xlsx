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600"/>
  </bookViews>
  <sheets>
    <sheet name="Registro de ventas" sheetId="1" r:id="rId1"/>
    <sheet name="Resumen de cuenta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<sst xmlns="http://schemas.openxmlformats.org/spreadsheetml/2006/main" count="42" uniqueCount="29">
  <si>
    <t>Fecha Comprador</t>
  </si>
  <si>
    <t>Comprador</t>
  </si>
  <si>
    <t>N. Pollo</t>
  </si>
  <si>
    <t>Peso (Lb)</t>
  </si>
  <si>
    <t>Precio por Libra</t>
  </si>
  <si>
    <t>Total del Pollo</t>
  </si>
  <si>
    <t>Estado de Pago</t>
  </si>
  <si>
    <t>Johan Valencia</t>
  </si>
  <si>
    <t>Pendiente</t>
  </si>
  <si>
    <t>Pagado</t>
  </si>
  <si>
    <t>James Valencia</t>
  </si>
  <si>
    <t>Daniela Salgado</t>
  </si>
  <si>
    <t>Jackelyn Valencia</t>
  </si>
  <si>
    <t>RESUMEN DE VENTAS</t>
  </si>
  <si>
    <t>Estado</t>
  </si>
  <si>
    <t>valor</t>
  </si>
  <si>
    <t>Total vendido</t>
  </si>
  <si>
    <t>Dinero recibido</t>
  </si>
  <si>
    <t>Dinero pendiente</t>
  </si>
  <si>
    <t>Cantidad de pollos vendidos</t>
  </si>
  <si>
    <t>Debe</t>
  </si>
  <si>
    <t>total de libras vendidas</t>
  </si>
  <si>
    <t>🐔CONTROL DE VENTAS DE POLLOS</t>
  </si>
  <si>
    <t>Resumen general del negocio</t>
  </si>
  <si>
    <t>TOTAL VENDIDO</t>
  </si>
  <si>
    <t>DINERO RECIBIDO</t>
  </si>
  <si>
    <t>DINERO PENDIENTE</t>
  </si>
  <si>
    <t>POLLOS VENDIDOS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</si>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</sst>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_-[$$-240A]\ * #,##0_-;\-[$$-240A]\ * #,##0_-;_-[$$-240A]\ * &quot;-&quot;_-;_-@_-"/>
    <numFmt numFmtId="181" formatCode="dd/mm/yyyy;@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1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20" applyNumberFormat="0" applyAlignment="0" applyProtection="0">
      <alignment vertical="center"/>
    </xf>
    <xf numFmtId="0" fontId="13" fillId="13" borderId="21" applyNumberFormat="0" applyAlignment="0" applyProtection="0">
      <alignment vertical="center"/>
    </xf>
    <xf numFmtId="0" fontId="14" fillId="13" borderId="20" applyNumberFormat="0" applyAlignment="0" applyProtection="0">
      <alignment vertical="center"/>
    </xf>
    <xf numFmtId="0" fontId="15" fillId="14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51">
    <xf numFmtId="0" fontId="0" fillId="0" borderId="0" xfId="0"/>
    <xf numFmtId="180" fontId="0" fillId="0" borderId="0" xfId="0" applyNumberFormat="1"/>
    <xf numFmtId="180" fontId="1" fillId="2" borderId="1" xfId="0" applyNumberFormat="1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180" fontId="1" fillId="2" borderId="3" xfId="0" applyNumberFormat="1" applyFont="1" applyFill="1" applyBorder="1" applyAlignment="1">
      <alignment horizontal="center" vertical="center"/>
    </xf>
    <xf numFmtId="180" fontId="1" fillId="3" borderId="0" xfId="0" applyNumberFormat="1" applyFont="1" applyFill="1" applyBorder="1" applyAlignment="1">
      <alignment vertical="center"/>
    </xf>
    <xf numFmtId="180" fontId="0" fillId="2" borderId="4" xfId="0" applyNumberFormat="1" applyFill="1" applyBorder="1" applyAlignment="1">
      <alignment horizontal="center"/>
    </xf>
    <xf numFmtId="180" fontId="0" fillId="2" borderId="5" xfId="0" applyNumberFormat="1" applyFill="1" applyBorder="1" applyAlignment="1">
      <alignment horizontal="center"/>
    </xf>
    <xf numFmtId="180" fontId="0" fillId="2" borderId="6" xfId="0" applyNumberFormat="1" applyFill="1" applyBorder="1" applyAlignment="1">
      <alignment horizontal="center"/>
    </xf>
    <xf numFmtId="180" fontId="0" fillId="3" borderId="0" xfId="0" applyNumberFormat="1" applyFill="1" applyBorder="1" applyAlignment="1"/>
    <xf numFmtId="180" fontId="2" fillId="4" borderId="7" xfId="0" applyNumberFormat="1" applyFont="1" applyFill="1" applyBorder="1" applyAlignment="1">
      <alignment horizontal="center"/>
    </xf>
    <xf numFmtId="180" fontId="2" fillId="5" borderId="7" xfId="0" applyNumberFormat="1" applyFont="1" applyFill="1" applyBorder="1" applyAlignment="1">
      <alignment horizontal="center"/>
    </xf>
    <xf numFmtId="180" fontId="2" fillId="4" borderId="8" xfId="0" applyNumberFormat="1" applyFont="1" applyFill="1" applyBorder="1" applyAlignment="1">
      <alignment horizontal="center"/>
    </xf>
    <xf numFmtId="180" fontId="2" fillId="5" borderId="8" xfId="0" applyNumberFormat="1" applyFont="1" applyFill="1" applyBorder="1" applyAlignment="1">
      <alignment horizontal="center"/>
    </xf>
    <xf numFmtId="180" fontId="2" fillId="6" borderId="7" xfId="0" applyNumberFormat="1" applyFont="1" applyFill="1" applyBorder="1" applyAlignment="1"/>
    <xf numFmtId="0" fontId="2" fillId="7" borderId="7" xfId="0" applyFont="1" applyFill="1" applyBorder="1" applyAlignment="1">
      <alignment horizontal="center"/>
    </xf>
    <xf numFmtId="180" fontId="2" fillId="6" borderId="8" xfId="0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0" borderId="9" xfId="0" applyBorder="1"/>
    <xf numFmtId="180" fontId="0" fillId="0" borderId="9" xfId="0" applyNumberFormat="1" applyBorder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9" xfId="0" applyFill="1" applyBorder="1"/>
    <xf numFmtId="180" fontId="0" fillId="4" borderId="9" xfId="0" applyNumberFormat="1" applyFill="1" applyBorder="1"/>
    <xf numFmtId="180" fontId="0" fillId="0" borderId="0" xfId="0" applyNumberFormat="1" applyBorder="1"/>
    <xf numFmtId="0" fontId="0" fillId="0" borderId="0" xfId="0" applyFill="1" applyBorder="1" applyAlignment="1">
      <alignment horizontal="center"/>
    </xf>
    <xf numFmtId="180" fontId="0" fillId="5" borderId="9" xfId="0" applyNumberFormat="1" applyFill="1" applyBorder="1"/>
    <xf numFmtId="180" fontId="0" fillId="0" borderId="0" xfId="0" applyNumberFormat="1" applyBorder="1"/>
    <xf numFmtId="0" fontId="0" fillId="4" borderId="10" xfId="0" applyFill="1" applyBorder="1"/>
    <xf numFmtId="180" fontId="0" fillId="4" borderId="11" xfId="0" applyNumberFormat="1" applyFill="1" applyBorder="1" applyAlignment="1">
      <alignment horizontal="right"/>
    </xf>
    <xf numFmtId="0" fontId="0" fillId="6" borderId="9" xfId="0" applyFill="1" applyBorder="1"/>
    <xf numFmtId="180" fontId="0" fillId="6" borderId="9" xfId="0" applyNumberFormat="1" applyFill="1" applyBorder="1"/>
    <xf numFmtId="0" fontId="0" fillId="5" borderId="12" xfId="0" applyFill="1" applyBorder="1"/>
    <xf numFmtId="180" fontId="0" fillId="5" borderId="13" xfId="0" applyNumberFormat="1" applyFill="1" applyBorder="1" applyAlignment="1">
      <alignment horizontal="right"/>
    </xf>
    <xf numFmtId="0" fontId="0" fillId="0" borderId="0" xfId="0" applyBorder="1"/>
    <xf numFmtId="0" fontId="0" fillId="6" borderId="12" xfId="0" applyFill="1" applyBorder="1"/>
    <xf numFmtId="180" fontId="0" fillId="6" borderId="13" xfId="0" applyNumberFormat="1" applyFill="1" applyBorder="1" applyAlignment="1">
      <alignment horizontal="right"/>
    </xf>
    <xf numFmtId="0" fontId="0" fillId="7" borderId="12" xfId="0" applyFill="1" applyBorder="1"/>
    <xf numFmtId="0" fontId="0" fillId="7" borderId="13" xfId="0" applyFill="1" applyBorder="1" applyAlignment="1">
      <alignment horizontal="right"/>
    </xf>
    <xf numFmtId="0" fontId="0" fillId="8" borderId="9" xfId="0" applyFill="1" applyBorder="1"/>
    <xf numFmtId="180" fontId="0" fillId="9" borderId="9" xfId="0" applyNumberFormat="1" applyFill="1" applyBorder="1"/>
    <xf numFmtId="180" fontId="0" fillId="10" borderId="9" xfId="0" applyNumberFormat="1" applyFill="1" applyBorder="1"/>
    <xf numFmtId="0" fontId="0" fillId="7" borderId="14" xfId="0" applyFill="1" applyBorder="1"/>
    <xf numFmtId="0" fontId="0" fillId="7" borderId="15" xfId="0" applyFill="1" applyBorder="1" applyAlignment="1">
      <alignment horizontal="right"/>
    </xf>
    <xf numFmtId="0" fontId="0" fillId="0" borderId="16" xfId="0" applyBorder="1"/>
    <xf numFmtId="180" fontId="0" fillId="3" borderId="16" xfId="0" applyNumberFormat="1" applyFill="1" applyBorder="1"/>
    <xf numFmtId="180" fontId="0" fillId="0" borderId="16" xfId="0" applyNumberFormat="1" applyBorder="1"/>
    <xf numFmtId="180" fontId="0" fillId="3" borderId="9" xfId="0" applyNumberFormat="1" applyFill="1" applyBorder="1"/>
    <xf numFmtId="181" fontId="0" fillId="0" borderId="0" xfId="0" applyNumberFormat="1"/>
    <xf numFmtId="0" fontId="0" fillId="0" borderId="0" xfId="0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numFmt numFmtId="181" formatCode="dd/mm/yyyy;@"/>
    </dxf>
    <dxf>
      <alignment horizontal="center"/>
    </dxf>
    <dxf>
      <alignment horizontal="center"/>
    </dxf>
    <dxf>
      <numFmt numFmtId="180" formatCode="_-[$$-240A]\ * #,##0_-;\-[$$-240A]\ * #,##0_-;_-[$$-240A]\ * &quot;-&quot;_-;_-@_-"/>
    </dxf>
    <dxf>
      <numFmt numFmtId="180" formatCode="_-[$$-240A]\ * #,##0_-;\-[$$-240A]\ * #,##0_-;_-[$$-240A]\ * &quot;-&quot;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los pagos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'Resumen de cuentas'!$E$1</c:f>
              <c:strCache>
                <c:ptCount val="1"/>
                <c:pt idx="0">
                  <c:v>valor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00B050"/>
              </a:solidFill>
              <a:ln w="19050" cap="flat" cmpd="sng" algn="ctr">
                <a:solidFill>
                  <a:srgbClr val="00B05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Pt>
            <c:idx val="1"/>
            <c:bubble3D val="0"/>
            <c:spPr>
              <a:solidFill>
                <a:srgbClr val="FFC000"/>
              </a:solidFill>
              <a:ln w="19050" cap="flat" cmpd="sng" algn="ctr">
                <a:solidFill>
                  <a:srgbClr val="FFC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de cuentas'!$D$2:$D$3</c:f>
              <c:strCache>
                <c:ptCount val="2"/>
                <c:pt idx="0" c:formatCode="_-[$$-240A]\ * #,##0_-;\-[$$-240A]\ * #,##0_-;_-[$$-240A]\ * &quot;-&quot;_-;_-@_-">
                  <c:v>Pagado</c:v>
                </c:pt>
                <c:pt idx="1" c:formatCode="General">
                  <c:v>Pendiente</c:v>
                </c:pt>
              </c:strCache>
            </c:strRef>
          </c:cat>
          <c:val>
            <c:numRef>
              <c:f>'Resumen de cuentas'!$E$2:$E$3</c:f>
              <c:numCache>
                <c:formatCode>_-[$$-240A]\ * #,##0_-;\-[$$-240A]\ * #,##0_-;_-[$$-240A]\ * "-"_-;_-@_-</c:formatCode>
                <c:ptCount val="2"/>
                <c:pt idx="0">
                  <c:v>175000</c:v>
                </c:pt>
                <c:pt idx="1">
                  <c:v>206500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2b01d4-78dc-44f3-b3ce-70ead2725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304800</xdr:colOff>
      <xdr:row>9</xdr:row>
      <xdr:rowOff>9525</xdr:rowOff>
    </xdr:from>
    <xdr:to>
      <xdr:col>4</xdr:col>
      <xdr:colOff>276225</xdr:colOff>
      <xdr:row>25</xdr:row>
      <xdr:rowOff>38100</xdr:rowOff>
    </xdr:to>
    <xdr:graphicFrame>
      <xdr:nvGraphicFramePr>
        <xdr:cNvPr id="4" name="Gráfico 3"/>
        <xdr:cNvGraphicFramePr/>
      </xdr:nvGraphicFramePr>
      <xdr:xfrm>
        <a:off x="304800" y="2466975"/>
        <a:ext cx="4667250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A1:G8" totalsRowShown="0">
  <autoFilter xmlns:etc="http://www.wps.cn/officeDocument/2017/etCustomData" ref="A1:G8" etc:filterBottomFollowUsedRange="0"/>
  <tableColumns count="7">
    <tableColumn id="1" name="Fecha Comprador" dataDxfId="0"/>
    <tableColumn id="7" name="Comprador"/>
    <tableColumn id="2" name="N. Pollo" dataDxfId="1"/>
    <tableColumn id="3" name="Peso (Lb)" dataDxfId="2"/>
    <tableColumn id="4" name="Precio por Libra" dataDxfId="3">
      <calculatedColumnFormula>7000</calculatedColumnFormula>
    </tableColumn>
    <tableColumn id="5" name="Total del Pollo" dataDxfId="4">
      <calculatedColumnFormula>D2*E2</calculatedColumnFormula>
    </tableColumn>
    <tableColumn id="6" name="Estado de 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tabSelected="1" workbookViewId="0">
      <selection activeCell="A14" sqref="A14"/>
    </sheetView>
  </sheetViews>
  <sheetFormatPr defaultColWidth="9" defaultRowHeight="15" outlineLevelRow="7" outlineLevelCol="6"/>
  <cols>
    <col min="1" max="1" width="19.2857142857143" style="49" customWidth="1"/>
    <col min="2" max="2" width="23" customWidth="1"/>
    <col min="3" max="3" width="11.5714285714286" style="50" customWidth="1"/>
    <col min="4" max="4" width="11.1428571428571" style="50" customWidth="1"/>
    <col min="5" max="5" width="17" style="1" customWidth="1"/>
    <col min="6" max="6" width="17.1428571428571" style="1" customWidth="1"/>
    <col min="7" max="7" width="17.4285714285714" customWidth="1"/>
  </cols>
  <sheetData>
    <row r="1" spans="1:7">
      <c r="A1" s="49" t="s">
        <v>0</v>
      </c>
      <c r="B1" t="s">
        <v>1</v>
      </c>
      <c r="C1" s="50" t="s">
        <v>2</v>
      </c>
      <c r="D1" s="50" t="s">
        <v>3</v>
      </c>
      <c r="E1" s="1" t="s">
        <v>4</v>
      </c>
      <c r="F1" s="1" t="s">
        <v>5</v>
      </c>
      <c r="G1" t="s">
        <v>6</v>
      </c>
    </row>
    <row r="2" spans="1:7">
      <c r="A2" s="49">
        <v>46317</v>
      </c>
      <c r="B2" t="s">
        <v>7</v>
      </c>
      <c r="C2" s="50">
        <v>1</v>
      </c>
      <c r="D2" s="50">
        <v>4.5</v>
      </c>
      <c r="E2" s="1">
        <f>7000</f>
        <v>7000</v>
      </c>
      <c r="F2" s="1">
        <f>D2*E2</f>
        <v>31500</v>
      </c>
      <c r="G2" t="s">
        <v>8</v>
      </c>
    </row>
    <row r="3" spans="1:7">
      <c r="A3" s="49">
        <v>46320</v>
      </c>
      <c r="B3" t="s">
        <v>7</v>
      </c>
      <c r="C3" s="50">
        <v>2</v>
      </c>
      <c r="D3" s="50">
        <v>5</v>
      </c>
      <c r="E3" s="1">
        <f>7000</f>
        <v>7000</v>
      </c>
      <c r="F3" s="1">
        <f>D3*E3</f>
        <v>35000</v>
      </c>
      <c r="G3" t="s">
        <v>9</v>
      </c>
    </row>
    <row r="4" spans="1:7">
      <c r="A4" s="49">
        <v>46320</v>
      </c>
      <c r="B4" t="s">
        <v>10</v>
      </c>
      <c r="C4" s="50">
        <v>3</v>
      </c>
      <c r="D4" s="50">
        <v>15</v>
      </c>
      <c r="E4" s="1">
        <f>7000</f>
        <v>7000</v>
      </c>
      <c r="F4" s="1">
        <f>D4*E4</f>
        <v>105000</v>
      </c>
      <c r="G4" t="s">
        <v>8</v>
      </c>
    </row>
    <row r="5" spans="1:7">
      <c r="A5" s="49">
        <v>46320</v>
      </c>
      <c r="B5" t="s">
        <v>10</v>
      </c>
      <c r="C5" s="50">
        <v>2</v>
      </c>
      <c r="D5" s="50">
        <v>10</v>
      </c>
      <c r="E5" s="1">
        <f>7000</f>
        <v>7000</v>
      </c>
      <c r="F5" s="1">
        <f>D5*E5</f>
        <v>70000</v>
      </c>
      <c r="G5" t="s">
        <v>9</v>
      </c>
    </row>
    <row r="6" spans="1:7">
      <c r="A6" s="49">
        <v>46320</v>
      </c>
      <c r="B6" t="s">
        <v>11</v>
      </c>
      <c r="C6" s="50">
        <v>1</v>
      </c>
      <c r="D6" s="50">
        <v>1</v>
      </c>
      <c r="E6" s="1">
        <f>7000</f>
        <v>7000</v>
      </c>
      <c r="F6" s="1">
        <f>D6*E6</f>
        <v>7000</v>
      </c>
      <c r="G6" t="s">
        <v>8</v>
      </c>
    </row>
    <row r="7" spans="1:7">
      <c r="A7" s="49">
        <v>46322</v>
      </c>
      <c r="B7" t="s">
        <v>12</v>
      </c>
      <c r="C7" s="50">
        <v>3</v>
      </c>
      <c r="D7" s="50">
        <v>10</v>
      </c>
      <c r="E7" s="1">
        <f>7000</f>
        <v>7000</v>
      </c>
      <c r="F7" s="1">
        <f>D7*E7</f>
        <v>70000</v>
      </c>
      <c r="G7" t="s">
        <v>9</v>
      </c>
    </row>
    <row r="8" spans="1:7">
      <c r="A8" s="49">
        <v>46322</v>
      </c>
      <c r="B8" t="s">
        <v>12</v>
      </c>
      <c r="C8" s="50">
        <v>3</v>
      </c>
      <c r="D8" s="50">
        <v>9</v>
      </c>
      <c r="E8" s="1">
        <f>7000</f>
        <v>7000</v>
      </c>
      <c r="F8" s="1">
        <f>D8*E8</f>
        <v>63000</v>
      </c>
      <c r="G8" t="s">
        <v>8</v>
      </c>
    </row>
  </sheetData>
  <sheetProtection formatCells="0" insertRows="0"/>
  <protectedRanges>
    <protectedRange sqref="A2:E999" name="DatosVenta"/>
    <protectedRange sqref="G2:G999" name="EstadoPago"/>
  </protectedRanges>
  <dataValidations count="1">
    <dataValidation type="list" allowBlank="1" showInputMessage="1" showErrorMessage="1" sqref="G7 G8 G1:G6 G9:G1048576">
      <formula1>"Pagado,Pendiente"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8"/>
  <sheetViews>
    <sheetView showGridLines="0" workbookViewId="0">
      <selection activeCell="L6" sqref="L6"/>
    </sheetView>
  </sheetViews>
  <sheetFormatPr defaultColWidth="9" defaultRowHeight="15"/>
  <cols>
    <col min="1" max="1" width="27.4285714285714" customWidth="1"/>
    <col min="2" max="2" width="12.4285714285714" customWidth="1"/>
    <col min="4" max="4" width="22.1428571428571" style="18" customWidth="1"/>
    <col min="5" max="5" width="13.7142857142857" style="19" customWidth="1"/>
    <col min="6" max="6" width="10.8571428571429" style="19" customWidth="1"/>
    <col min="7" max="7" width="12.1428571428571" style="19" customWidth="1"/>
    <col min="9" max="9" width="11.8571428571429" style="20" customWidth="1"/>
    <col min="10" max="10" width="17.2857142857143" style="20" customWidth="1"/>
    <col min="12" max="12" width="11.1428571428571" customWidth="1"/>
    <col min="13" max="13" width="16.7142857142857" customWidth="1"/>
  </cols>
  <sheetData>
    <row r="1" ht="15.75" spans="1:10">
      <c r="A1" s="21" t="s">
        <v>13</v>
      </c>
      <c r="B1" s="22"/>
      <c r="D1" s="23" t="s">
        <v>14</v>
      </c>
      <c r="E1" s="24" t="s">
        <v>15</v>
      </c>
      <c r="F1" s="25"/>
      <c r="G1" s="25"/>
      <c r="I1" s="26"/>
      <c r="J1" s="26"/>
    </row>
    <row r="2" spans="1:10">
      <c r="D2" s="27" t="s">
        <v>9</v>
      </c>
      <c r="E2" s="27">
        <f>B4</f>
        <v>175000</v>
      </c>
      <c r="F2" s="25"/>
      <c r="G2" s="25"/>
      <c r="J2" s="28"/>
    </row>
    <row r="3" spans="1:10">
      <c r="A3" s="29" t="s">
        <v>16</v>
      </c>
      <c r="B3" s="30">
        <f>SUM('Registro de ventas'!F:F)</f>
        <v>381500</v>
      </c>
      <c r="D3" s="31" t="s">
        <v>8</v>
      </c>
      <c r="E3" s="32">
        <f>B5</f>
        <v>206500</v>
      </c>
      <c r="F3" s="25"/>
      <c r="G3" s="25"/>
      <c r="J3" s="28"/>
    </row>
    <row r="4" spans="1:10">
      <c r="A4" s="33" t="s">
        <v>17</v>
      </c>
      <c r="B4" s="34">
        <f>SUMIF('Registro de ventas'!G:G,"Pagado",'Registro de ventas'!F:F)</f>
        <v>175000</v>
      </c>
      <c r="D4" s="35"/>
      <c r="E4" s="25"/>
      <c r="F4" s="25"/>
      <c r="G4" s="25"/>
      <c r="J4" s="28"/>
    </row>
    <row r="5" spans="1:10">
      <c r="A5" s="36" t="s">
        <v>18</v>
      </c>
      <c r="B5" s="37">
        <f>SUMIF('Registro de ventas'!G:G,"Pendiente",'Registro de ventas'!F:F)</f>
        <v>206500</v>
      </c>
      <c r="D5" s="35"/>
      <c r="E5" s="25"/>
      <c r="F5" s="25"/>
      <c r="G5" s="25"/>
      <c r="J5" s="28"/>
    </row>
    <row r="6" spans="1:10">
      <c r="A6" s="38" t="s">
        <v>19</v>
      </c>
      <c r="B6" s="39">
        <f>COUNTA('Registro de ventas'!C:C)-1</f>
        <v>7</v>
      </c>
      <c r="D6" s="40" t="s">
        <v>1</v>
      </c>
      <c r="E6" s="41" t="s">
        <v>16</v>
      </c>
      <c r="F6" s="41" t="s">
        <v>9</v>
      </c>
      <c r="G6" s="42" t="s">
        <v>20</v>
      </c>
      <c r="J6" s="28"/>
    </row>
    <row r="7" spans="1:10">
      <c r="A7" s="43" t="s">
        <v>21</v>
      </c>
      <c r="B7" s="44">
        <f>SUM('Registro de ventas'!D:D)</f>
        <v>54.5</v>
      </c>
      <c r="D7" s="45" t="str" cm="1">
        <f t="array" ref="D7:D11">_xlfn.UNIQUE('Registro de ventas'!B2:B993)</f>
        <v>Johan Valencia</v>
      </c>
      <c r="E7" s="46" cm="1">
        <f t="array" ref="E7:E11">SUMIF('Registro de ventas'!B2:B993,_xlfn.ANCHORARRAY(D7),'Registro de ventas'!F2:F993)</f>
        <v>66500</v>
      </c>
      <c r="F7" s="47" cm="1">
        <f t="array" ref="F7:F11">SUMIFS('Registro de ventas'!F2:F993,'Registro de ventas'!B2:B993,_xlfn.ANCHORARRAY(D7),'Registro de ventas'!G2:G993,"Pagado")</f>
        <v>35000</v>
      </c>
      <c r="G7" s="47" cm="1">
        <f t="array" ref="G7:G11">_xlfn.ANCHORARRAY(E7)-_xlfn.ANCHORARRAY(F7)</f>
        <v>31500</v>
      </c>
      <c r="J7" s="28"/>
    </row>
    <row r="8" spans="1:10">
      <c r="D8" s="18" t="str">
        <v>James Valencia</v>
      </c>
      <c r="E8" s="48">
        <v>175000</v>
      </c>
      <c r="F8" s="19">
        <v>70000</v>
      </c>
      <c r="G8" s="19">
        <v>105000</v>
      </c>
      <c r="J8" s="28"/>
    </row>
    <row r="9" spans="1:10">
      <c r="D9" s="18" t="str">
        <v>Daniela Salgado</v>
      </c>
      <c r="E9" s="19">
        <v>7000</v>
      </c>
      <c r="F9" s="19">
        <v>0</v>
      </c>
      <c r="G9" s="19">
        <v>7000</v>
      </c>
    </row>
    <row r="10" spans="1:10">
      <c r="D10" s="18" t="str">
        <v>Jackelyn Valencia</v>
      </c>
      <c r="E10" s="19">
        <v>133000</v>
      </c>
      <c r="F10" s="19">
        <v>70000</v>
      </c>
      <c r="G10" s="19">
        <v>63000</v>
      </c>
    </row>
    <row r="11" spans="1:10">
      <c r="D11" s="18">
        <v>0</v>
      </c>
      <c r="E11" s="19">
        <v>0</v>
      </c>
      <c r="F11" s="19">
        <v>0</v>
      </c>
      <c r="G11" s="19">
        <v>0</v>
      </c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</sheetData>
  <mergeCells count="1">
    <mergeCell ref="A1:B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showGridLines="0" workbookViewId="0">
      <selection activeCell="F10" sqref="F10"/>
    </sheetView>
  </sheetViews>
  <sheetFormatPr defaultColWidth="9" defaultRowHeight="15" outlineLevelCol="7"/>
  <cols>
    <col min="2" max="2" width="27.4285714285714" style="1" customWidth="1"/>
    <col min="4" max="4" width="25" style="1" customWidth="1"/>
    <col min="6" max="6" width="26.4285714285714" style="1" customWidth="1"/>
    <col min="8" max="8" width="25.2857142857143" customWidth="1"/>
  </cols>
  <sheetData>
    <row r="1" ht="45.75" customHeight="1" spans="2:8">
      <c r="B1" s="2" t="s">
        <v>22</v>
      </c>
      <c r="C1" s="3"/>
      <c r="D1" s="4"/>
      <c r="E1" s="5"/>
      <c r="F1" s="5"/>
      <c r="G1" s="5"/>
      <c r="H1" s="5"/>
    </row>
    <row r="2" ht="15.75" spans="2:8">
      <c r="B2" s="6" t="s">
        <v>23</v>
      </c>
      <c r="C2" s="7"/>
      <c r="D2" s="8"/>
      <c r="E2" s="9"/>
      <c r="F2" s="9"/>
      <c r="G2" s="9"/>
      <c r="H2" s="9"/>
    </row>
    <row r="3" ht="15.75"/>
    <row r="4" ht="21" spans="2:8">
      <c r="B4" s="10" t="s">
        <v>24</v>
      </c>
      <c r="D4" s="11" t="s">
        <v>25</v>
      </c>
    </row>
    <row r="5" ht="21.75" spans="2:8">
      <c r="B5" s="12">
        <f>'Resumen de cuentas'!B3</f>
        <v>381500</v>
      </c>
      <c r="D5" s="13">
        <f>'Resumen de cuentas'!B4</f>
        <v>175000</v>
      </c>
    </row>
    <row r="6" ht="15.75"/>
    <row r="7" ht="21" spans="2:8">
      <c r="B7" s="14" t="s">
        <v>26</v>
      </c>
      <c r="D7" s="15" t="s">
        <v>27</v>
      </c>
    </row>
    <row r="8" ht="21.75" spans="2:8">
      <c r="B8" s="16">
        <f>'Resumen de cuentas'!B5</f>
        <v>206500</v>
      </c>
      <c r="D8" s="17">
        <f>'Resumen de cuentas'!B6</f>
        <v>7</v>
      </c>
    </row>
    <row r="10" spans="2:8">
      <c r="C10" t="s">
        <v>28</v>
      </c>
    </row>
  </sheetData>
  <mergeCells count="2">
    <mergeCell ref="B1:D1"/>
    <mergeCell ref="B2:D2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DatosVenta" rangeCreator="" othersAccessPermission="edit"/>
    <arrUserId title="EstadoPago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Registro de ventas</vt:lpstr>
      <vt:lpstr>Resumen de cuentas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Valencia</cp:lastModifiedBy>
  <dcterms:created xsi:type="dcterms:W3CDTF">2026-10-22T22:26:00Z</dcterms:created>
  <dcterms:modified xsi:type="dcterms:W3CDTF">2026-10-27T17:00:52Z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968AFA19A8FB4B07ACC24C951340FDD6_12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